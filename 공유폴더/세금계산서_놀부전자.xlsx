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8"/>
  <workbookPr/>
  <mc:AlternateContent xmlns:mc="http://schemas.openxmlformats.org/markup-compatibility/2006">
    <mc:Choice Requires="x15">
      <x15ac:absPath xmlns:x15ac="http://schemas.microsoft.com/office/spreadsheetml/2010/11/ac" url="C:\Users\kkj63\OneDrive\바탕 화면\소스코드\startcoding\startcoding_renewal\python_excel\02.폴더및파일관리\taxbill_data\"/>
    </mc:Choice>
  </mc:AlternateContent>
  <xr:revisionPtr revIDLastSave="0" documentId="13_ncr:1_{01E55B5C-75B2-499C-A0DF-089CCD41CCEB}" xr6:coauthVersionLast="47" xr6:coauthVersionMax="47" xr10:uidLastSave="{00000000-0000-0000-0000-000000000000}"/>
  <bookViews>
    <workbookView xWindow="40725" yWindow="6945" windowWidth="11955" windowHeight="487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L47" i="2"/>
  <c r="B47" i="2"/>
  <c r="A47" i="2"/>
  <c r="O45" i="2"/>
  <c r="B45" i="2"/>
  <c r="A45" i="2"/>
  <c r="B44" i="2"/>
  <c r="A44" i="2"/>
  <c r="AB40" i="2"/>
  <c r="AB37" i="2"/>
  <c r="V31" i="2"/>
  <c r="K31" i="2"/>
  <c r="H31" i="2"/>
  <c r="AD22" i="2"/>
  <c r="O21" i="2"/>
  <c r="O47" i="2" s="1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C44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11" i="2"/>
  <c r="U11" i="2"/>
  <c r="U37" i="2" s="1"/>
  <c r="L11" i="2"/>
  <c r="L37" i="2" s="1"/>
  <c r="E11" i="2"/>
  <c r="E37" i="2" s="1"/>
  <c r="U9" i="2"/>
  <c r="U35" i="2" s="1"/>
  <c r="E9" i="2"/>
  <c r="E35" i="2" s="1"/>
  <c r="AB7" i="2"/>
  <c r="AB33" i="2" s="1"/>
  <c r="U7" i="2"/>
  <c r="U33" i="2" s="1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G18" i="1"/>
  <c r="G17" i="1"/>
  <c r="G16" i="1"/>
  <c r="A17" i="2" l="1"/>
  <c r="A43" i="2" s="1"/>
  <c r="T17" i="2"/>
  <c r="T43" i="2" s="1"/>
  <c r="T18" i="2"/>
  <c r="T44" i="2" s="1"/>
  <c r="T19" i="2"/>
  <c r="T45" i="2" s="1"/>
  <c r="T20" i="2"/>
  <c r="T46" i="2" s="1"/>
  <c r="B17" i="2"/>
  <c r="B43" i="2" s="1"/>
  <c r="G21" i="1"/>
  <c r="H17" i="1"/>
  <c r="Z18" i="2" s="1"/>
  <c r="Z44" i="2" s="1"/>
  <c r="H19" i="1"/>
  <c r="Z20" i="2" s="1"/>
  <c r="Z46" i="2" s="1"/>
  <c r="H16" i="1"/>
  <c r="I16" i="1" s="1"/>
  <c r="H18" i="1"/>
  <c r="Z19" i="2" s="1"/>
  <c r="Z45" i="2" s="1"/>
  <c r="H20" i="1"/>
  <c r="Z21" i="2" s="1"/>
  <c r="Z47" i="2" s="1"/>
  <c r="I20" i="1" l="1"/>
  <c r="I19" i="1"/>
  <c r="O15" i="2"/>
  <c r="O41" i="2" s="1"/>
  <c r="I15" i="2"/>
  <c r="I41" i="2" s="1"/>
  <c r="N15" i="2"/>
  <c r="N41" i="2" s="1"/>
  <c r="H15" i="2"/>
  <c r="H41" i="2" s="1"/>
  <c r="L15" i="2"/>
  <c r="L41" i="2" s="1"/>
  <c r="M15" i="2"/>
  <c r="M41" i="2" s="1"/>
  <c r="G15" i="2"/>
  <c r="Q15" i="2"/>
  <c r="Q41" i="2" s="1"/>
  <c r="K15" i="2"/>
  <c r="K41" i="2" s="1"/>
  <c r="P15" i="2"/>
  <c r="P41" i="2" s="1"/>
  <c r="J15" i="2"/>
  <c r="J41" i="2" s="1"/>
  <c r="H21" i="1"/>
  <c r="Z17" i="2"/>
  <c r="Z43" i="2" s="1"/>
  <c r="I17" i="1"/>
  <c r="I21" i="1" s="1"/>
  <c r="A23" i="2" s="1"/>
  <c r="A49" i="2" s="1"/>
  <c r="I18" i="1"/>
  <c r="E15" i="2" l="1"/>
  <c r="E41" i="2" s="1"/>
  <c r="G41" i="2"/>
  <c r="AA15" i="2"/>
  <c r="AA41" i="2" s="1"/>
  <c r="U15" i="2"/>
  <c r="U41" i="2" s="1"/>
  <c r="Z15" i="2"/>
  <c r="Z41" i="2" s="1"/>
  <c r="T15" i="2"/>
  <c r="T41" i="2" s="1"/>
  <c r="X15" i="2"/>
  <c r="X41" i="2" s="1"/>
  <c r="R15" i="2"/>
  <c r="R41" i="2" s="1"/>
  <c r="Y15" i="2"/>
  <c r="Y41" i="2" s="1"/>
  <c r="S15" i="2"/>
  <c r="S41" i="2" s="1"/>
  <c r="W15" i="2"/>
  <c r="W41" i="2" s="1"/>
  <c r="V15" i="2"/>
  <c r="V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<sst xmlns="http://schemas.openxmlformats.org/spreadsheetml/2006/main" count="209" uniqueCount="94">
  <si>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</si>
  <si>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</si>
  <si>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</si>
  <si>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</si>
  <si>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</si>
  <si>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놀부전자</t>
  </si>
  <si>
    <t>사업자등록번호</t>
  </si>
  <si>
    <t>111-11-11111</t>
  </si>
  <si>
    <t>222-22-222222</t>
  </si>
  <si>
    <t>대표자성명</t>
  </si>
  <si>
    <t>놀부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</si>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</sst>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J16" sqref="J16"/>
    </sheetView>
  </sheetViews>
  <sheetFormatPr defaultColWidth="8.9140625" defaultRowHeight="14"/>
  <cols>
    <col min="1" max="1" width="4.914062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83203125" style="1" customWidth="1"/>
    <col min="6" max="6" width="13.4140625" style="1" customWidth="1"/>
    <col min="7" max="7" width="13.6640625" style="1" customWidth="1"/>
    <col min="8" max="8" width="11.6640625" style="1" customWidth="1"/>
    <col min="9" max="9" width="15.1640625" style="1" customWidth="1"/>
    <col min="10" max="257" width="8.9140625" style="1" customWidth="1"/>
  </cols>
  <sheetData>
    <row r="1" spans="1:10" ht="24.75" customHeight="1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4" customHeight="1"/>
    <row r="3" spans="1:10" ht="17.5" customHeight="1">
      <c r="B3" s="88" t="s">
        <v>1</v>
      </c>
      <c r="C3" s="89"/>
      <c r="D3" s="2"/>
      <c r="E3" s="2"/>
      <c r="F3" s="2"/>
      <c r="G3" s="88" t="s">
        <v>2</v>
      </c>
      <c r="H3" s="89"/>
      <c r="I3" s="2"/>
    </row>
    <row r="4" spans="1:10" ht="17.149999999999999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2" t="s">
        <v>4</v>
      </c>
      <c r="D5" s="103"/>
      <c r="E5" s="104"/>
      <c r="F5" s="2"/>
      <c r="G5" s="3" t="s">
        <v>3</v>
      </c>
      <c r="H5" s="102" t="s">
        <v>5</v>
      </c>
      <c r="I5" s="104"/>
    </row>
    <row r="6" spans="1:10" ht="15" customHeight="1">
      <c r="B6" s="3" t="s">
        <v>6</v>
      </c>
      <c r="C6" s="100" t="s">
        <v>7</v>
      </c>
      <c r="D6" s="94"/>
      <c r="E6" s="95"/>
      <c r="F6" s="2"/>
      <c r="G6" s="3" t="s">
        <v>6</v>
      </c>
      <c r="H6" s="100" t="s">
        <v>8</v>
      </c>
      <c r="I6" s="95"/>
    </row>
    <row r="7" spans="1:10" ht="15" customHeight="1">
      <c r="B7" s="3" t="s">
        <v>9</v>
      </c>
      <c r="C7" s="93" t="s">
        <v>4</v>
      </c>
      <c r="D7" s="94"/>
      <c r="E7" s="95"/>
      <c r="F7" s="4"/>
      <c r="G7" s="3" t="s">
        <v>9</v>
      </c>
      <c r="H7" s="93" t="s">
        <v>10</v>
      </c>
      <c r="I7" s="95"/>
    </row>
    <row r="8" spans="1:10" ht="15" customHeight="1">
      <c r="B8" s="3" t="s">
        <v>11</v>
      </c>
      <c r="C8" s="93" t="s">
        <v>12</v>
      </c>
      <c r="D8" s="94"/>
      <c r="E8" s="95"/>
      <c r="F8" s="2"/>
      <c r="G8" s="3" t="s">
        <v>11</v>
      </c>
      <c r="H8" s="93" t="s">
        <v>13</v>
      </c>
      <c r="I8" s="95"/>
    </row>
    <row r="9" spans="1:10" ht="15" customHeight="1">
      <c r="B9" s="3" t="s">
        <v>14</v>
      </c>
      <c r="C9" s="93" t="s">
        <v>15</v>
      </c>
      <c r="D9" s="94"/>
      <c r="E9" s="95"/>
      <c r="F9" s="2"/>
      <c r="G9" s="3" t="s">
        <v>14</v>
      </c>
      <c r="H9" s="93" t="s">
        <v>16</v>
      </c>
      <c r="I9" s="95"/>
    </row>
    <row r="10" spans="1:10" ht="15" customHeight="1">
      <c r="B10" s="3" t="s">
        <v>17</v>
      </c>
      <c r="C10" s="96" t="s">
        <v>18</v>
      </c>
      <c r="D10" s="97"/>
      <c r="E10" s="98"/>
      <c r="F10" s="2"/>
      <c r="G10" s="3" t="s">
        <v>17</v>
      </c>
      <c r="H10" s="93" t="s">
        <v>19</v>
      </c>
      <c r="I10" s="95"/>
    </row>
    <row r="11" spans="1:10" ht="18.75" customHeight="1">
      <c r="B11" s="2"/>
      <c r="C11" s="2"/>
      <c r="D11" s="2"/>
      <c r="E11" s="2"/>
      <c r="F11" s="2"/>
      <c r="G11" s="3" t="s">
        <v>20</v>
      </c>
      <c r="H11" s="99"/>
      <c r="I11" s="98"/>
    </row>
    <row r="12" spans="1:10" ht="17.5" customHeight="1">
      <c r="B12" s="88" t="s">
        <v>21</v>
      </c>
      <c r="C12" s="89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0" t="s">
        <v>22</v>
      </c>
      <c r="G13" s="86"/>
      <c r="H13" s="86"/>
      <c r="I13" s="86"/>
    </row>
    <row r="14" spans="1:10" ht="17.149999999999999" customHeight="1">
      <c r="B14" s="5" t="s">
        <v>23</v>
      </c>
      <c r="C14" s="91">
        <v>44927</v>
      </c>
      <c r="D14" s="84"/>
      <c r="E14" s="6"/>
      <c r="F14" s="7"/>
      <c r="G14" s="7"/>
      <c r="H14" s="7"/>
      <c r="I14" s="7"/>
    </row>
    <row r="15" spans="1:10" ht="17.149999999999999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49999999999999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49999999999999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49999999999999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49999999999999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49999999999999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49999999999999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8" t="s">
        <v>39</v>
      </c>
      <c r="C23" s="89"/>
      <c r="I23" s="33"/>
    </row>
    <row r="24" spans="2:9" ht="17.149999999999999" customHeight="1">
      <c r="B24" s="92"/>
      <c r="C24" s="86"/>
      <c r="D24" s="86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2" t="s">
        <v>46</v>
      </c>
      <c r="D26" s="83"/>
      <c r="E26" s="83"/>
      <c r="F26" s="84"/>
      <c r="G26" s="39"/>
      <c r="H26" s="39"/>
      <c r="I26" s="39"/>
    </row>
    <row r="27" spans="2:9" ht="21.75" customHeight="1">
      <c r="B27" s="40"/>
      <c r="C27" s="40"/>
    </row>
    <row r="28" spans="2:9" ht="17.149999999999999" customHeight="1"/>
    <row r="29" spans="2:9" ht="17.149999999999999" customHeight="1">
      <c r="B29" s="33"/>
      <c r="C29" s="85" t="s">
        <v>47</v>
      </c>
      <c r="D29" s="86"/>
      <c r="E29" s="86"/>
      <c r="F29" s="86"/>
      <c r="G29" s="86"/>
      <c r="H29" s="41"/>
      <c r="I29" s="41"/>
    </row>
    <row r="30" spans="2:9" ht="17.149999999999999" customHeight="1">
      <c r="G30" s="41"/>
      <c r="H30" s="41"/>
      <c r="I30" s="41"/>
    </row>
    <row r="31" spans="2:9" ht="21" customHeight="1">
      <c r="B31" s="87" t="s">
        <v>48</v>
      </c>
      <c r="C31" s="86"/>
      <c r="D31" s="86"/>
      <c r="E31" s="86"/>
      <c r="F31" s="86"/>
      <c r="G31" s="86"/>
      <c r="H31" s="86"/>
      <c r="I31" s="86"/>
    </row>
    <row r="32" spans="2:9" ht="14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4"/>
  <cols>
    <col min="1" max="45" width="2.33203125" style="44" customWidth="1"/>
    <col min="46" max="46" width="2.4140625" style="44" customWidth="1"/>
    <col min="47" max="257" width="2.33203125" style="44" customWidth="1"/>
  </cols>
  <sheetData>
    <row r="1" spans="1:33" ht="26.25" customHeight="1">
      <c r="A1" s="101" t="s">
        <v>49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45">
        <v>1</v>
      </c>
    </row>
    <row r="2" spans="1:33" ht="15.75" customHeight="1">
      <c r="A2" s="259" t="s">
        <v>50</v>
      </c>
      <c r="B2" s="196"/>
      <c r="C2" s="196"/>
      <c r="D2" s="196"/>
      <c r="E2" s="196"/>
      <c r="F2" s="19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0"/>
      <c r="W2" s="109"/>
      <c r="X2" s="109"/>
      <c r="Y2" s="109"/>
      <c r="Z2" s="109"/>
      <c r="AA2" s="109"/>
      <c r="AB2" s="260"/>
      <c r="AC2" s="109"/>
      <c r="AD2" s="109"/>
      <c r="AE2" s="109"/>
      <c r="AF2" s="109"/>
    </row>
    <row r="3" spans="1:33" ht="20.149999999999999" customHeight="1">
      <c r="A3" s="261" t="s">
        <v>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262"/>
      <c r="W3" s="264" t="s">
        <v>52</v>
      </c>
      <c r="X3" s="216"/>
      <c r="Y3" s="216"/>
      <c r="Z3" s="217"/>
      <c r="AA3" s="265" t="str">
        <f>자료입력페이지!C25</f>
        <v>02</v>
      </c>
      <c r="AB3" s="216"/>
      <c r="AC3" s="48" t="s">
        <v>42</v>
      </c>
      <c r="AD3" s="265" t="str">
        <f>자료입력페이지!E25</f>
        <v>11</v>
      </c>
      <c r="AE3" s="216"/>
      <c r="AF3" s="49" t="s">
        <v>44</v>
      </c>
    </row>
    <row r="4" spans="1:33" ht="20.149999999999999" customHeight="1">
      <c r="A4" s="26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4"/>
      <c r="W4" s="240" t="s">
        <v>53</v>
      </c>
      <c r="X4" s="194"/>
      <c r="Y4" s="194"/>
      <c r="Z4" s="238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3" t="s">
        <v>54</v>
      </c>
      <c r="B5" s="231" t="s">
        <v>55</v>
      </c>
      <c r="C5" s="194"/>
      <c r="D5" s="194"/>
      <c r="E5" s="227" t="str">
        <f>MID(자료입력페이지!C6,1,1)</f>
        <v>1</v>
      </c>
      <c r="F5" s="227" t="str">
        <f>MID(자료입력페이지!C6,2,1)</f>
        <v>1</v>
      </c>
      <c r="G5" s="227" t="str">
        <f>MID(자료입력페이지!C6,3,1)</f>
        <v>1</v>
      </c>
      <c r="H5" s="227" t="s">
        <v>56</v>
      </c>
      <c r="I5" s="227" t="str">
        <f>MID(자료입력페이지!C6,5,1)</f>
        <v>1</v>
      </c>
      <c r="J5" s="227" t="str">
        <f>MID(자료입력페이지!C6,6,1)</f>
        <v>1</v>
      </c>
      <c r="K5" s="227" t="s">
        <v>56</v>
      </c>
      <c r="L5" s="227" t="str">
        <f>MID(자료입력페이지!C6,8,1)</f>
        <v>1</v>
      </c>
      <c r="M5" s="227" t="str">
        <f>MID(자료입력페이지!C6,9,1)</f>
        <v>1</v>
      </c>
      <c r="N5" s="227" t="str">
        <f>MID(자료입력페이지!C6,10,1)</f>
        <v>1</v>
      </c>
      <c r="O5" s="227" t="str">
        <f>MID(자료입력페이지!C6,11,1)</f>
        <v>1</v>
      </c>
      <c r="P5" s="227" t="str">
        <f>MID(자료입력페이지!C6,12,1)</f>
        <v>1</v>
      </c>
      <c r="Q5" s="229" t="s">
        <v>57</v>
      </c>
      <c r="R5" s="231" t="s">
        <v>55</v>
      </c>
      <c r="S5" s="194"/>
      <c r="T5" s="194"/>
      <c r="U5" s="227" t="str">
        <f>MID(자료입력페이지!H6,1,1)</f>
        <v>2</v>
      </c>
      <c r="V5" s="227" t="str">
        <f>MID(자료입력페이지!H6,2,1)</f>
        <v>2</v>
      </c>
      <c r="W5" s="227" t="str">
        <f>MID(자료입력페이지!H6,3,1)</f>
        <v>2</v>
      </c>
      <c r="X5" s="227" t="s">
        <v>56</v>
      </c>
      <c r="Y5" s="227" t="str">
        <f>MID(자료입력페이지!H6,5,1)</f>
        <v>2</v>
      </c>
      <c r="Z5" s="227" t="str">
        <f>MID(자료입력페이지!H6,6,1)</f>
        <v>2</v>
      </c>
      <c r="AA5" s="227" t="s">
        <v>56</v>
      </c>
      <c r="AB5" s="227" t="str">
        <f>MID(자료입력페이지!H6,8,1)</f>
        <v>2</v>
      </c>
      <c r="AC5" s="227" t="str">
        <f>MID(자료입력페이지!H6,9,1)</f>
        <v>2</v>
      </c>
      <c r="AD5" s="227" t="str">
        <f>MID(자료입력페이지!H6,10,1)</f>
        <v>2</v>
      </c>
      <c r="AE5" s="227" t="str">
        <f>MID(자료입력페이지!H6,11,1)</f>
        <v>2</v>
      </c>
      <c r="AF5" s="247" t="str">
        <f>MID(자료입력페이지!H6,12,1)</f>
        <v>2</v>
      </c>
    </row>
    <row r="6" spans="1:33" ht="13.5" customHeight="1">
      <c r="A6" s="254"/>
      <c r="B6" s="232"/>
      <c r="C6" s="213"/>
      <c r="D6" s="213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30"/>
      <c r="R6" s="232"/>
      <c r="S6" s="213"/>
      <c r="T6" s="213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48"/>
    </row>
    <row r="7" spans="1:33" ht="13.5" customHeight="1">
      <c r="A7" s="254"/>
      <c r="B7" s="256" t="s">
        <v>58</v>
      </c>
      <c r="C7" s="194"/>
      <c r="D7" s="194"/>
      <c r="E7" s="249" t="str">
        <f>자료입력페이지!C5</f>
        <v>스타트코딩</v>
      </c>
      <c r="F7" s="194"/>
      <c r="G7" s="194"/>
      <c r="H7" s="194"/>
      <c r="I7" s="194"/>
      <c r="J7" s="238"/>
      <c r="K7" s="250" t="s">
        <v>59</v>
      </c>
      <c r="L7" s="251" t="str">
        <f>자료입력페이지!C7</f>
        <v>스타트코딩</v>
      </c>
      <c r="M7" s="194"/>
      <c r="N7" s="194"/>
      <c r="O7" s="194"/>
      <c r="P7" s="252" t="s">
        <v>60</v>
      </c>
      <c r="Q7" s="230"/>
      <c r="R7" s="240" t="s">
        <v>58</v>
      </c>
      <c r="S7" s="194"/>
      <c r="T7" s="238"/>
      <c r="U7" s="243" t="str">
        <f>자료입력페이지!H5</f>
        <v>놀부전자</v>
      </c>
      <c r="V7" s="109"/>
      <c r="W7" s="109"/>
      <c r="X7" s="109"/>
      <c r="Y7" s="109"/>
      <c r="Z7" s="230"/>
      <c r="AA7" s="244" t="s">
        <v>59</v>
      </c>
      <c r="AB7" s="245" t="str">
        <f>자료입력페이지!H7</f>
        <v>놀부</v>
      </c>
      <c r="AC7" s="109"/>
      <c r="AD7" s="109"/>
      <c r="AE7" s="109"/>
      <c r="AF7" s="246" t="s">
        <v>60</v>
      </c>
    </row>
    <row r="8" spans="1:33" ht="13.5" customHeight="1">
      <c r="A8" s="254"/>
      <c r="B8" s="233" t="s">
        <v>61</v>
      </c>
      <c r="C8" s="213"/>
      <c r="D8" s="213"/>
      <c r="E8" s="232"/>
      <c r="F8" s="213"/>
      <c r="G8" s="213"/>
      <c r="H8" s="213"/>
      <c r="I8" s="213"/>
      <c r="J8" s="214"/>
      <c r="K8" s="228"/>
      <c r="L8" s="232"/>
      <c r="M8" s="213"/>
      <c r="N8" s="213"/>
      <c r="O8" s="213"/>
      <c r="P8" s="214"/>
      <c r="Q8" s="230"/>
      <c r="R8" s="234" t="s">
        <v>61</v>
      </c>
      <c r="S8" s="213"/>
      <c r="T8" s="214"/>
      <c r="U8" s="232"/>
      <c r="V8" s="213"/>
      <c r="W8" s="213"/>
      <c r="X8" s="213"/>
      <c r="Y8" s="213"/>
      <c r="Z8" s="214"/>
      <c r="AA8" s="228"/>
      <c r="AB8" s="232"/>
      <c r="AC8" s="213"/>
      <c r="AD8" s="213"/>
      <c r="AE8" s="213"/>
      <c r="AF8" s="219"/>
    </row>
    <row r="9" spans="1:33" ht="13.5" customHeight="1">
      <c r="A9" s="254"/>
      <c r="B9" s="240" t="s">
        <v>62</v>
      </c>
      <c r="C9" s="194"/>
      <c r="D9" s="238"/>
      <c r="E9" s="257" t="str">
        <f>자료입력페이지!C8</f>
        <v>서울시  서초구 서초동 123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230"/>
      <c r="Q9" s="230"/>
      <c r="R9" s="240" t="s">
        <v>62</v>
      </c>
      <c r="S9" s="194"/>
      <c r="T9" s="238"/>
      <c r="U9" s="258" t="str">
        <f>자료입력페이지!H8</f>
        <v xml:space="preserve">서울시 강남구 삼성동 123 </v>
      </c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224"/>
    </row>
    <row r="10" spans="1:33" ht="13.5" customHeight="1">
      <c r="A10" s="254"/>
      <c r="B10" s="255" t="s">
        <v>63</v>
      </c>
      <c r="C10" s="213"/>
      <c r="D10" s="214"/>
      <c r="E10" s="232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30"/>
      <c r="R10" s="255" t="s">
        <v>63</v>
      </c>
      <c r="S10" s="213"/>
      <c r="T10" s="214"/>
      <c r="U10" s="232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9"/>
    </row>
    <row r="11" spans="1:33" ht="13.5" customHeight="1">
      <c r="A11" s="254"/>
      <c r="B11" s="240" t="s">
        <v>64</v>
      </c>
      <c r="C11" s="194"/>
      <c r="D11" s="238"/>
      <c r="E11" s="237" t="str">
        <f>자료입력페이지!C9</f>
        <v>인터넷서비스</v>
      </c>
      <c r="F11" s="194"/>
      <c r="G11" s="194"/>
      <c r="H11" s="194"/>
      <c r="I11" s="194"/>
      <c r="J11" s="238"/>
      <c r="K11" s="235" t="s">
        <v>17</v>
      </c>
      <c r="L11" s="237" t="str">
        <f>자료입력페이지!C10</f>
        <v>온라인정보제공</v>
      </c>
      <c r="M11" s="194"/>
      <c r="N11" s="194"/>
      <c r="O11" s="194"/>
      <c r="P11" s="238"/>
      <c r="Q11" s="230"/>
      <c r="R11" s="240" t="s">
        <v>64</v>
      </c>
      <c r="S11" s="194"/>
      <c r="T11" s="238"/>
      <c r="U11" s="237" t="str">
        <f>자료입력페이지!H9</f>
        <v>제조</v>
      </c>
      <c r="V11" s="194"/>
      <c r="W11" s="194"/>
      <c r="X11" s="194"/>
      <c r="Y11" s="194"/>
      <c r="Z11" s="238"/>
      <c r="AA11" s="235" t="s">
        <v>17</v>
      </c>
      <c r="AB11" s="242" t="str">
        <f>자료입력페이지!H10</f>
        <v>부품제조</v>
      </c>
      <c r="AC11" s="194"/>
      <c r="AD11" s="194"/>
      <c r="AE11" s="194"/>
      <c r="AF11" s="224"/>
    </row>
    <row r="12" spans="1:33" ht="13.5" customHeight="1">
      <c r="A12" s="254"/>
      <c r="B12" s="241"/>
      <c r="C12" s="109"/>
      <c r="D12" s="230"/>
      <c r="E12" s="195"/>
      <c r="F12" s="196"/>
      <c r="G12" s="196"/>
      <c r="H12" s="196"/>
      <c r="I12" s="196"/>
      <c r="J12" s="239"/>
      <c r="K12" s="236"/>
      <c r="L12" s="195"/>
      <c r="M12" s="196"/>
      <c r="N12" s="196"/>
      <c r="O12" s="196"/>
      <c r="P12" s="239"/>
      <c r="Q12" s="230"/>
      <c r="R12" s="241"/>
      <c r="S12" s="109"/>
      <c r="T12" s="230"/>
      <c r="U12" s="195"/>
      <c r="V12" s="196"/>
      <c r="W12" s="196"/>
      <c r="X12" s="196"/>
      <c r="Y12" s="196"/>
      <c r="Z12" s="239"/>
      <c r="AA12" s="236"/>
      <c r="AB12" s="195"/>
      <c r="AC12" s="196"/>
      <c r="AD12" s="196"/>
      <c r="AE12" s="196"/>
      <c r="AF12" s="201"/>
    </row>
    <row r="13" spans="1:33" ht="13.5" customHeight="1">
      <c r="A13" s="220" t="s">
        <v>65</v>
      </c>
      <c r="B13" s="216"/>
      <c r="C13" s="216"/>
      <c r="D13" s="217"/>
      <c r="E13" s="215" t="s">
        <v>66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215" t="s">
        <v>67</v>
      </c>
      <c r="S13" s="216"/>
      <c r="T13" s="216"/>
      <c r="U13" s="216"/>
      <c r="V13" s="216"/>
      <c r="W13" s="216"/>
      <c r="X13" s="216"/>
      <c r="Y13" s="216"/>
      <c r="Z13" s="216"/>
      <c r="AA13" s="217"/>
      <c r="AB13" s="221" t="s">
        <v>68</v>
      </c>
      <c r="AC13" s="216"/>
      <c r="AD13" s="216"/>
      <c r="AE13" s="216"/>
      <c r="AF13" s="222"/>
    </row>
    <row r="14" spans="1:33" ht="13.5" customHeight="1">
      <c r="A14" s="189" t="s">
        <v>69</v>
      </c>
      <c r="B14" s="191"/>
      <c r="C14" s="52" t="s">
        <v>70</v>
      </c>
      <c r="D14" s="52" t="s">
        <v>71</v>
      </c>
      <c r="E14" s="192" t="s">
        <v>72</v>
      </c>
      <c r="F14" s="19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3">
        <f>자료입력페이지!H11</f>
        <v>0</v>
      </c>
      <c r="AC14" s="194"/>
      <c r="AD14" s="194"/>
      <c r="AE14" s="194"/>
      <c r="AF14" s="224"/>
    </row>
    <row r="15" spans="1:33" ht="20.149999999999999" customHeight="1">
      <c r="A15" s="225">
        <f>YEAR(자료입력페이지!C14)</f>
        <v>2023</v>
      </c>
      <c r="B15" s="203"/>
      <c r="C15" s="54">
        <f>MONTH(자료입력페이지!C14)</f>
        <v>1</v>
      </c>
      <c r="D15" s="55">
        <f>DAY(자료입력페이지!C14)</f>
        <v>1</v>
      </c>
      <c r="E15" s="226">
        <f>COUNTBLANK(G15:Q15)</f>
        <v>5</v>
      </c>
      <c r="F15" s="204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5"/>
      <c r="AC15" s="196"/>
      <c r="AD15" s="196"/>
      <c r="AE15" s="196"/>
      <c r="AF15" s="201"/>
    </row>
    <row r="16" spans="1:33" ht="13.5" customHeight="1">
      <c r="A16" s="57" t="s">
        <v>70</v>
      </c>
      <c r="B16" s="58" t="s">
        <v>71</v>
      </c>
      <c r="C16" s="212" t="s">
        <v>78</v>
      </c>
      <c r="D16" s="213"/>
      <c r="E16" s="213"/>
      <c r="F16" s="213"/>
      <c r="G16" s="213"/>
      <c r="H16" s="214"/>
      <c r="I16" s="215" t="s">
        <v>25</v>
      </c>
      <c r="J16" s="216"/>
      <c r="K16" s="217"/>
      <c r="L16" s="215" t="s">
        <v>26</v>
      </c>
      <c r="M16" s="216"/>
      <c r="N16" s="217"/>
      <c r="O16" s="212" t="s">
        <v>79</v>
      </c>
      <c r="P16" s="213"/>
      <c r="Q16" s="213"/>
      <c r="R16" s="213"/>
      <c r="S16" s="214"/>
      <c r="T16" s="212" t="s">
        <v>80</v>
      </c>
      <c r="U16" s="213"/>
      <c r="V16" s="213"/>
      <c r="W16" s="213"/>
      <c r="X16" s="213"/>
      <c r="Y16" s="214"/>
      <c r="Z16" s="212" t="s">
        <v>81</v>
      </c>
      <c r="AA16" s="213"/>
      <c r="AB16" s="213"/>
      <c r="AC16" s="213"/>
      <c r="AD16" s="214"/>
      <c r="AE16" s="218" t="s">
        <v>20</v>
      </c>
      <c r="AF16" s="219"/>
    </row>
    <row r="17" spans="1:32" ht="20.149999999999999" customHeight="1">
      <c r="A17" s="59">
        <f>C15</f>
        <v>1</v>
      </c>
      <c r="B17" s="60">
        <f>D15</f>
        <v>1</v>
      </c>
      <c r="C17" s="206" t="str">
        <f>자료입력페이지!C16</f>
        <v>ERP 프로그램</v>
      </c>
      <c r="D17" s="190"/>
      <c r="E17" s="190"/>
      <c r="F17" s="190"/>
      <c r="G17" s="190"/>
      <c r="H17" s="191"/>
      <c r="I17" s="207">
        <f>자료입력페이지!D16</f>
        <v>0</v>
      </c>
      <c r="J17" s="190"/>
      <c r="K17" s="191"/>
      <c r="L17" s="208">
        <f>자료입력페이지!E16</f>
        <v>1</v>
      </c>
      <c r="M17" s="190"/>
      <c r="N17" s="191"/>
      <c r="O17" s="209">
        <f>자료입력페이지!F16</f>
        <v>250000</v>
      </c>
      <c r="P17" s="190"/>
      <c r="Q17" s="190"/>
      <c r="R17" s="190"/>
      <c r="S17" s="191"/>
      <c r="T17" s="209">
        <f>자료입력페이지!G16</f>
        <v>250000</v>
      </c>
      <c r="U17" s="190"/>
      <c r="V17" s="190"/>
      <c r="W17" s="190"/>
      <c r="X17" s="190"/>
      <c r="Y17" s="191"/>
      <c r="Z17" s="209">
        <f>자료입력페이지!H16</f>
        <v>25000</v>
      </c>
      <c r="AA17" s="190"/>
      <c r="AB17" s="190"/>
      <c r="AC17" s="190"/>
      <c r="AD17" s="191"/>
      <c r="AE17" s="210"/>
      <c r="AF17" s="211"/>
    </row>
    <row r="18" spans="1:32" ht="20.149999999999999" customHeight="1">
      <c r="A18" s="59"/>
      <c r="B18" s="60"/>
      <c r="C18" s="206" t="str">
        <f>자료입력페이지!C17</f>
        <v>서버유지보수</v>
      </c>
      <c r="D18" s="190"/>
      <c r="E18" s="190"/>
      <c r="F18" s="190"/>
      <c r="G18" s="190"/>
      <c r="H18" s="191"/>
      <c r="I18" s="207">
        <f>자료입력페이지!D17</f>
        <v>0</v>
      </c>
      <c r="J18" s="190"/>
      <c r="K18" s="191"/>
      <c r="L18" s="208">
        <f>자료입력페이지!E17</f>
        <v>1</v>
      </c>
      <c r="M18" s="190"/>
      <c r="N18" s="191"/>
      <c r="O18" s="209">
        <f>자료입력페이지!F17</f>
        <v>100000</v>
      </c>
      <c r="P18" s="190"/>
      <c r="Q18" s="190"/>
      <c r="R18" s="190"/>
      <c r="S18" s="191"/>
      <c r="T18" s="209">
        <f>자료입력페이지!G17</f>
        <v>100000</v>
      </c>
      <c r="U18" s="190"/>
      <c r="V18" s="190"/>
      <c r="W18" s="190"/>
      <c r="X18" s="190"/>
      <c r="Y18" s="191"/>
      <c r="Z18" s="209">
        <f>자료입력페이지!H17</f>
        <v>10000</v>
      </c>
      <c r="AA18" s="190"/>
      <c r="AB18" s="190"/>
      <c r="AC18" s="190"/>
      <c r="AD18" s="191"/>
      <c r="AE18" s="210"/>
      <c r="AF18" s="211"/>
    </row>
    <row r="19" spans="1:32" ht="20.149999999999999" customHeight="1">
      <c r="A19" s="59"/>
      <c r="B19" s="60"/>
      <c r="C19" s="206">
        <f>자료입력페이지!C18</f>
        <v>0</v>
      </c>
      <c r="D19" s="190"/>
      <c r="E19" s="190"/>
      <c r="F19" s="190"/>
      <c r="G19" s="190"/>
      <c r="H19" s="191"/>
      <c r="I19" s="207">
        <f>자료입력페이지!D18</f>
        <v>0</v>
      </c>
      <c r="J19" s="190"/>
      <c r="K19" s="191"/>
      <c r="L19" s="208">
        <f>자료입력페이지!E18</f>
        <v>0</v>
      </c>
      <c r="M19" s="190"/>
      <c r="N19" s="191"/>
      <c r="O19" s="209">
        <f>자료입력페이지!F18</f>
        <v>0</v>
      </c>
      <c r="P19" s="190"/>
      <c r="Q19" s="190"/>
      <c r="R19" s="190"/>
      <c r="S19" s="191"/>
      <c r="T19" s="209">
        <f>자료입력페이지!G18</f>
        <v>0</v>
      </c>
      <c r="U19" s="190"/>
      <c r="V19" s="190"/>
      <c r="W19" s="190"/>
      <c r="X19" s="190"/>
      <c r="Y19" s="191"/>
      <c r="Z19" s="209">
        <f>자료입력페이지!H18</f>
        <v>0</v>
      </c>
      <c r="AA19" s="190"/>
      <c r="AB19" s="190"/>
      <c r="AC19" s="190"/>
      <c r="AD19" s="191"/>
      <c r="AE19" s="210"/>
      <c r="AF19" s="211"/>
    </row>
    <row r="20" spans="1:32" ht="20.149999999999999" customHeight="1">
      <c r="A20" s="59"/>
      <c r="B20" s="60"/>
      <c r="C20" s="206">
        <f>자료입력페이지!C19</f>
        <v>0</v>
      </c>
      <c r="D20" s="190"/>
      <c r="E20" s="190"/>
      <c r="F20" s="190"/>
      <c r="G20" s="190"/>
      <c r="H20" s="191"/>
      <c r="I20" s="207">
        <f>자료입력페이지!D20</f>
        <v>0</v>
      </c>
      <c r="J20" s="190"/>
      <c r="K20" s="191"/>
      <c r="L20" s="208">
        <f>자료입력페이지!E19</f>
        <v>0</v>
      </c>
      <c r="M20" s="190"/>
      <c r="N20" s="191"/>
      <c r="O20" s="209">
        <f>자료입력페이지!F19</f>
        <v>0</v>
      </c>
      <c r="P20" s="190"/>
      <c r="Q20" s="190"/>
      <c r="R20" s="190"/>
      <c r="S20" s="191"/>
      <c r="T20" s="209">
        <f>자료입력페이지!G19</f>
        <v>0</v>
      </c>
      <c r="U20" s="190"/>
      <c r="V20" s="190"/>
      <c r="W20" s="190"/>
      <c r="X20" s="190"/>
      <c r="Y20" s="191"/>
      <c r="Z20" s="209">
        <f>자료입력페이지!H19</f>
        <v>0</v>
      </c>
      <c r="AA20" s="190"/>
      <c r="AB20" s="190"/>
      <c r="AC20" s="190"/>
      <c r="AD20" s="191"/>
      <c r="AE20" s="210"/>
      <c r="AF20" s="211"/>
    </row>
    <row r="21" spans="1:32" ht="20.149999999999999" customHeight="1">
      <c r="A21" s="59"/>
      <c r="B21" s="60"/>
      <c r="C21" s="206">
        <f>자료입력페이지!C20</f>
        <v>0</v>
      </c>
      <c r="D21" s="190"/>
      <c r="E21" s="190"/>
      <c r="F21" s="190"/>
      <c r="G21" s="190"/>
      <c r="H21" s="191"/>
      <c r="I21" s="61"/>
      <c r="J21" s="62"/>
      <c r="K21" s="63"/>
      <c r="L21" s="208">
        <f>자료입력페이지!E20</f>
        <v>0</v>
      </c>
      <c r="M21" s="190"/>
      <c r="N21" s="191"/>
      <c r="O21" s="209">
        <f>자료입력페이지!F20</f>
        <v>0</v>
      </c>
      <c r="P21" s="190"/>
      <c r="Q21" s="190"/>
      <c r="R21" s="190"/>
      <c r="S21" s="191"/>
      <c r="T21" s="209">
        <f>자료입력페이지!G20</f>
        <v>0</v>
      </c>
      <c r="U21" s="190"/>
      <c r="V21" s="190"/>
      <c r="W21" s="190"/>
      <c r="X21" s="190"/>
      <c r="Y21" s="191"/>
      <c r="Z21" s="209">
        <f>자료입력페이지!H20</f>
        <v>0</v>
      </c>
      <c r="AA21" s="190"/>
      <c r="AB21" s="190"/>
      <c r="AC21" s="190"/>
      <c r="AD21" s="191"/>
      <c r="AE21" s="210"/>
      <c r="AF21" s="211"/>
    </row>
    <row r="22" spans="1:32" ht="13.5" customHeight="1">
      <c r="A22" s="189" t="s">
        <v>38</v>
      </c>
      <c r="B22" s="190"/>
      <c r="C22" s="190"/>
      <c r="D22" s="190"/>
      <c r="E22" s="191"/>
      <c r="F22" s="192" t="s">
        <v>82</v>
      </c>
      <c r="G22" s="190"/>
      <c r="H22" s="190"/>
      <c r="I22" s="190"/>
      <c r="J22" s="191"/>
      <c r="K22" s="192" t="s">
        <v>83</v>
      </c>
      <c r="L22" s="190"/>
      <c r="M22" s="190"/>
      <c r="N22" s="190"/>
      <c r="O22" s="191"/>
      <c r="P22" s="192" t="s">
        <v>84</v>
      </c>
      <c r="Q22" s="190"/>
      <c r="R22" s="190"/>
      <c r="S22" s="190"/>
      <c r="T22" s="191"/>
      <c r="U22" s="192" t="s">
        <v>85</v>
      </c>
      <c r="V22" s="190"/>
      <c r="W22" s="190"/>
      <c r="X22" s="190"/>
      <c r="Y22" s="191"/>
      <c r="Z22" s="193" t="s">
        <v>86</v>
      </c>
      <c r="AA22" s="194"/>
      <c r="AB22" s="194"/>
      <c r="AC22" s="194"/>
      <c r="AD22" s="197" t="str">
        <f>IF(AG1=1,"영수","청구")</f>
        <v>영수</v>
      </c>
      <c r="AE22" s="198"/>
      <c r="AF22" s="200" t="s">
        <v>87</v>
      </c>
    </row>
    <row r="23" spans="1:32" ht="20.149999999999999" customHeight="1">
      <c r="A23" s="202">
        <f>자료입력페이지!I21</f>
        <v>385000</v>
      </c>
      <c r="B23" s="203"/>
      <c r="C23" s="203"/>
      <c r="D23" s="203"/>
      <c r="E23" s="204"/>
      <c r="F23" s="205"/>
      <c r="G23" s="203"/>
      <c r="H23" s="203"/>
      <c r="I23" s="203"/>
      <c r="J23" s="204"/>
      <c r="K23" s="205"/>
      <c r="L23" s="203"/>
      <c r="M23" s="203"/>
      <c r="N23" s="203"/>
      <c r="O23" s="204"/>
      <c r="P23" s="205"/>
      <c r="Q23" s="203"/>
      <c r="R23" s="203"/>
      <c r="S23" s="203"/>
      <c r="T23" s="204"/>
      <c r="U23" s="205"/>
      <c r="V23" s="203"/>
      <c r="W23" s="203"/>
      <c r="X23" s="203"/>
      <c r="Y23" s="204"/>
      <c r="Z23" s="195"/>
      <c r="AA23" s="196"/>
      <c r="AB23" s="196"/>
      <c r="AC23" s="196"/>
      <c r="AD23" s="199"/>
      <c r="AE23" s="199"/>
      <c r="AF23" s="201"/>
    </row>
    <row r="24" spans="1:32" ht="14.25" customHeight="1">
      <c r="A24" s="178" t="s">
        <v>88</v>
      </c>
      <c r="B24" s="179"/>
      <c r="C24" s="179"/>
      <c r="D24" s="179"/>
      <c r="E24" s="179"/>
      <c r="F24" s="179"/>
      <c r="G24" s="179"/>
      <c r="H24" s="179"/>
      <c r="I24" s="179"/>
      <c r="J24" s="179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0" t="s">
        <v>89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1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3" t="s">
        <v>50</v>
      </c>
      <c r="B28" s="117"/>
      <c r="C28" s="117"/>
      <c r="D28" s="117"/>
      <c r="E28" s="117"/>
      <c r="F28" s="117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49999999999999" customHeight="1">
      <c r="A29" s="184" t="s">
        <v>90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85"/>
      <c r="W29" s="187" t="s">
        <v>52</v>
      </c>
      <c r="X29" s="133"/>
      <c r="Y29" s="133"/>
      <c r="Z29" s="134"/>
      <c r="AA29" s="188" t="str">
        <f>AA3</f>
        <v>02</v>
      </c>
      <c r="AB29" s="133"/>
      <c r="AC29" s="70" t="s">
        <v>42</v>
      </c>
      <c r="AD29" s="188" t="str">
        <f>AD3</f>
        <v>11</v>
      </c>
      <c r="AE29" s="133"/>
      <c r="AF29" s="71" t="s">
        <v>44</v>
      </c>
    </row>
    <row r="30" spans="1:32" ht="20.149999999999999" customHeight="1">
      <c r="A30" s="18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52"/>
      <c r="W30" s="170" t="s">
        <v>53</v>
      </c>
      <c r="X30" s="115"/>
      <c r="Y30" s="115"/>
      <c r="Z30" s="156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1" t="s">
        <v>54</v>
      </c>
      <c r="B31" s="147" t="s">
        <v>55</v>
      </c>
      <c r="C31" s="115"/>
      <c r="D31" s="115"/>
      <c r="E31" s="142" t="str">
        <f t="shared" ref="E31:P31" si="0">E5</f>
        <v>1</v>
      </c>
      <c r="F31" s="142" t="str">
        <f t="shared" si="0"/>
        <v>1</v>
      </c>
      <c r="G31" s="142" t="str">
        <f t="shared" si="0"/>
        <v>1</v>
      </c>
      <c r="H31" s="142" t="str">
        <f t="shared" si="0"/>
        <v>-</v>
      </c>
      <c r="I31" s="142" t="str">
        <f t="shared" si="0"/>
        <v>1</v>
      </c>
      <c r="J31" s="142" t="str">
        <f t="shared" si="0"/>
        <v>1</v>
      </c>
      <c r="K31" s="142" t="str">
        <f t="shared" si="0"/>
        <v>-</v>
      </c>
      <c r="L31" s="142" t="str">
        <f t="shared" si="0"/>
        <v>1</v>
      </c>
      <c r="M31" s="142" t="str">
        <f t="shared" si="0"/>
        <v>1</v>
      </c>
      <c r="N31" s="142" t="str">
        <f t="shared" si="0"/>
        <v>1</v>
      </c>
      <c r="O31" s="142" t="str">
        <f t="shared" si="0"/>
        <v>1</v>
      </c>
      <c r="P31" s="142" t="str">
        <f t="shared" si="0"/>
        <v>1</v>
      </c>
      <c r="Q31" s="144" t="s">
        <v>57</v>
      </c>
      <c r="R31" s="147" t="s">
        <v>55</v>
      </c>
      <c r="S31" s="115"/>
      <c r="T31" s="115"/>
      <c r="U31" s="142" t="str">
        <f>U5</f>
        <v>2</v>
      </c>
      <c r="V31" s="142" t="str">
        <f>V5</f>
        <v>2</v>
      </c>
      <c r="W31" s="142" t="str">
        <f>W5</f>
        <v>2</v>
      </c>
      <c r="X31" s="142" t="s">
        <v>56</v>
      </c>
      <c r="Y31" s="142" t="str">
        <f>Y5</f>
        <v>2</v>
      </c>
      <c r="Z31" s="142" t="str">
        <f>Z5</f>
        <v>2</v>
      </c>
      <c r="AA31" s="142" t="s">
        <v>56</v>
      </c>
      <c r="AB31" s="142" t="str">
        <f>AB5</f>
        <v>2</v>
      </c>
      <c r="AC31" s="142" t="str">
        <f>AC5</f>
        <v>2</v>
      </c>
      <c r="AD31" s="142" t="str">
        <f>AD5</f>
        <v>2</v>
      </c>
      <c r="AE31" s="142" t="str">
        <f>AE5</f>
        <v>2</v>
      </c>
      <c r="AF31" s="164" t="str">
        <f>AF5</f>
        <v>2</v>
      </c>
    </row>
    <row r="32" spans="1:32" ht="13.5" customHeight="1">
      <c r="A32" s="172"/>
      <c r="B32" s="148"/>
      <c r="C32" s="149"/>
      <c r="D32" s="149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5"/>
      <c r="R32" s="148"/>
      <c r="S32" s="149"/>
      <c r="T32" s="149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65"/>
    </row>
    <row r="33" spans="1:32" ht="13.5" customHeight="1">
      <c r="A33" s="172"/>
      <c r="B33" s="175" t="s">
        <v>58</v>
      </c>
      <c r="C33" s="115"/>
      <c r="D33" s="115"/>
      <c r="E33" s="166" t="str">
        <f>E7</f>
        <v>스타트코딩</v>
      </c>
      <c r="F33" s="115"/>
      <c r="G33" s="115"/>
      <c r="H33" s="115"/>
      <c r="I33" s="115"/>
      <c r="J33" s="156"/>
      <c r="K33" s="167" t="s">
        <v>59</v>
      </c>
      <c r="L33" s="168" t="str">
        <f>L7</f>
        <v>스타트코딩</v>
      </c>
      <c r="M33" s="115"/>
      <c r="N33" s="115"/>
      <c r="O33" s="115"/>
      <c r="P33" s="169" t="s">
        <v>60</v>
      </c>
      <c r="Q33" s="145"/>
      <c r="R33" s="170" t="s">
        <v>58</v>
      </c>
      <c r="S33" s="115"/>
      <c r="T33" s="156"/>
      <c r="U33" s="159" t="str">
        <f>U7</f>
        <v>놀부전자</v>
      </c>
      <c r="V33" s="109"/>
      <c r="W33" s="109"/>
      <c r="X33" s="109"/>
      <c r="Y33" s="109"/>
      <c r="Z33" s="145"/>
      <c r="AA33" s="160" t="s">
        <v>59</v>
      </c>
      <c r="AB33" s="161" t="str">
        <f>AB7</f>
        <v>놀부</v>
      </c>
      <c r="AC33" s="109"/>
      <c r="AD33" s="109"/>
      <c r="AE33" s="109"/>
      <c r="AF33" s="162" t="s">
        <v>60</v>
      </c>
    </row>
    <row r="34" spans="1:32" ht="13.5" customHeight="1">
      <c r="A34" s="172"/>
      <c r="B34" s="150" t="s">
        <v>61</v>
      </c>
      <c r="C34" s="149"/>
      <c r="D34" s="149"/>
      <c r="E34" s="148"/>
      <c r="F34" s="149"/>
      <c r="G34" s="149"/>
      <c r="H34" s="149"/>
      <c r="I34" s="149"/>
      <c r="J34" s="152"/>
      <c r="K34" s="143"/>
      <c r="L34" s="148"/>
      <c r="M34" s="149"/>
      <c r="N34" s="149"/>
      <c r="O34" s="149"/>
      <c r="P34" s="152"/>
      <c r="Q34" s="145"/>
      <c r="R34" s="151" t="s">
        <v>61</v>
      </c>
      <c r="S34" s="149"/>
      <c r="T34" s="152"/>
      <c r="U34" s="148"/>
      <c r="V34" s="149"/>
      <c r="W34" s="149"/>
      <c r="X34" s="149"/>
      <c r="Y34" s="149"/>
      <c r="Z34" s="152"/>
      <c r="AA34" s="143"/>
      <c r="AB34" s="148"/>
      <c r="AC34" s="149"/>
      <c r="AD34" s="149"/>
      <c r="AE34" s="149"/>
      <c r="AF34" s="163"/>
    </row>
    <row r="35" spans="1:32" ht="13.5" customHeight="1">
      <c r="A35" s="172"/>
      <c r="B35" s="170" t="s">
        <v>62</v>
      </c>
      <c r="C35" s="115"/>
      <c r="D35" s="156"/>
      <c r="E35" s="176" t="str">
        <f>E9</f>
        <v>서울시  서초구 서초동 123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45"/>
      <c r="Q35" s="145"/>
      <c r="R35" s="170" t="s">
        <v>62</v>
      </c>
      <c r="S35" s="115"/>
      <c r="T35" s="156"/>
      <c r="U35" s="177" t="str">
        <f>U9</f>
        <v xml:space="preserve">서울시 강남구 삼성동 123 </v>
      </c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9"/>
    </row>
    <row r="36" spans="1:32" ht="13.5" customHeight="1">
      <c r="A36" s="172"/>
      <c r="B36" s="174" t="s">
        <v>63</v>
      </c>
      <c r="C36" s="149"/>
      <c r="D36" s="152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2"/>
      <c r="Q36" s="145"/>
      <c r="R36" s="174" t="s">
        <v>63</v>
      </c>
      <c r="S36" s="149"/>
      <c r="T36" s="152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63"/>
    </row>
    <row r="37" spans="1:32" ht="13.5" customHeight="1">
      <c r="A37" s="172"/>
      <c r="B37" s="157" t="s">
        <v>64</v>
      </c>
      <c r="C37" s="115"/>
      <c r="D37" s="156"/>
      <c r="E37" s="155" t="str">
        <f>E11</f>
        <v>인터넷서비스</v>
      </c>
      <c r="F37" s="115"/>
      <c r="G37" s="115"/>
      <c r="H37" s="115"/>
      <c r="I37" s="115"/>
      <c r="J37" s="156"/>
      <c r="K37" s="153" t="s">
        <v>17</v>
      </c>
      <c r="L37" s="155" t="str">
        <f>L11</f>
        <v>온라인정보제공</v>
      </c>
      <c r="M37" s="115"/>
      <c r="N37" s="115"/>
      <c r="O37" s="115"/>
      <c r="P37" s="156"/>
      <c r="Q37" s="145"/>
      <c r="R37" s="157" t="s">
        <v>64</v>
      </c>
      <c r="S37" s="115"/>
      <c r="T37" s="156"/>
      <c r="U37" s="155" t="str">
        <f>U11</f>
        <v>제조</v>
      </c>
      <c r="V37" s="115"/>
      <c r="W37" s="115"/>
      <c r="X37" s="115"/>
      <c r="Y37" s="115"/>
      <c r="Z37" s="156"/>
      <c r="AA37" s="153" t="s">
        <v>17</v>
      </c>
      <c r="AB37" s="158" t="str">
        <f>AB11</f>
        <v>부품제조</v>
      </c>
      <c r="AC37" s="115"/>
      <c r="AD37" s="115"/>
      <c r="AE37" s="115"/>
      <c r="AF37" s="139"/>
    </row>
    <row r="38" spans="1:32" ht="13.5" customHeight="1">
      <c r="A38" s="173"/>
      <c r="B38" s="116"/>
      <c r="C38" s="117"/>
      <c r="D38" s="146"/>
      <c r="E38" s="116"/>
      <c r="F38" s="117"/>
      <c r="G38" s="117"/>
      <c r="H38" s="117"/>
      <c r="I38" s="117"/>
      <c r="J38" s="146"/>
      <c r="K38" s="154"/>
      <c r="L38" s="116"/>
      <c r="M38" s="117"/>
      <c r="N38" s="117"/>
      <c r="O38" s="117"/>
      <c r="P38" s="146"/>
      <c r="Q38" s="146"/>
      <c r="R38" s="116"/>
      <c r="S38" s="117"/>
      <c r="T38" s="146"/>
      <c r="U38" s="116"/>
      <c r="V38" s="117"/>
      <c r="W38" s="117"/>
      <c r="X38" s="117"/>
      <c r="Y38" s="117"/>
      <c r="Z38" s="146"/>
      <c r="AA38" s="154"/>
      <c r="AB38" s="116"/>
      <c r="AC38" s="117"/>
      <c r="AD38" s="117"/>
      <c r="AE38" s="117"/>
      <c r="AF38" s="120"/>
    </row>
    <row r="39" spans="1:32" ht="13.5" customHeight="1">
      <c r="A39" s="137" t="s">
        <v>65</v>
      </c>
      <c r="B39" s="133"/>
      <c r="C39" s="133"/>
      <c r="D39" s="134"/>
      <c r="E39" s="132" t="s">
        <v>91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4"/>
      <c r="R39" s="132" t="s">
        <v>92</v>
      </c>
      <c r="S39" s="133"/>
      <c r="T39" s="133"/>
      <c r="U39" s="133"/>
      <c r="V39" s="133"/>
      <c r="W39" s="133"/>
      <c r="X39" s="133"/>
      <c r="Y39" s="133"/>
      <c r="Z39" s="133"/>
      <c r="AA39" s="134"/>
      <c r="AB39" s="135" t="s">
        <v>93</v>
      </c>
      <c r="AC39" s="133"/>
      <c r="AD39" s="133"/>
      <c r="AE39" s="133"/>
      <c r="AF39" s="136"/>
    </row>
    <row r="40" spans="1:32" ht="13.5" customHeight="1">
      <c r="A40" s="110" t="s">
        <v>69</v>
      </c>
      <c r="B40" s="112"/>
      <c r="C40" s="74" t="s">
        <v>70</v>
      </c>
      <c r="D40" s="74" t="s">
        <v>71</v>
      </c>
      <c r="E40" s="113" t="s">
        <v>72</v>
      </c>
      <c r="F40" s="112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8">
        <f>AB14</f>
        <v>0</v>
      </c>
      <c r="AC40" s="115"/>
      <c r="AD40" s="115"/>
      <c r="AE40" s="115"/>
      <c r="AF40" s="139"/>
    </row>
    <row r="41" spans="1:32" ht="20.149999999999999" customHeight="1">
      <c r="A41" s="140">
        <f>A15</f>
        <v>2023</v>
      </c>
      <c r="B41" s="123"/>
      <c r="C41" s="76">
        <f>C15</f>
        <v>1</v>
      </c>
      <c r="D41" s="76">
        <f>D15</f>
        <v>1</v>
      </c>
      <c r="E41" s="141">
        <f>E15</f>
        <v>5</v>
      </c>
      <c r="F41" s="123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6"/>
      <c r="AC41" s="117"/>
      <c r="AD41" s="117"/>
      <c r="AE41" s="117"/>
      <c r="AF41" s="120"/>
    </row>
    <row r="42" spans="1:32" ht="13.5" customHeight="1">
      <c r="A42" s="78" t="s">
        <v>70</v>
      </c>
      <c r="B42" s="79" t="s">
        <v>71</v>
      </c>
      <c r="C42" s="132" t="s">
        <v>78</v>
      </c>
      <c r="D42" s="133"/>
      <c r="E42" s="133"/>
      <c r="F42" s="133"/>
      <c r="G42" s="133"/>
      <c r="H42" s="134"/>
      <c r="I42" s="132" t="s">
        <v>25</v>
      </c>
      <c r="J42" s="133"/>
      <c r="K42" s="134"/>
      <c r="L42" s="132" t="s">
        <v>26</v>
      </c>
      <c r="M42" s="133"/>
      <c r="N42" s="134"/>
      <c r="O42" s="132" t="s">
        <v>79</v>
      </c>
      <c r="P42" s="133"/>
      <c r="Q42" s="133"/>
      <c r="R42" s="133"/>
      <c r="S42" s="134"/>
      <c r="T42" s="132" t="s">
        <v>80</v>
      </c>
      <c r="U42" s="133"/>
      <c r="V42" s="133"/>
      <c r="W42" s="133"/>
      <c r="X42" s="133"/>
      <c r="Y42" s="134"/>
      <c r="Z42" s="132" t="s">
        <v>81</v>
      </c>
      <c r="AA42" s="133"/>
      <c r="AB42" s="133"/>
      <c r="AC42" s="133"/>
      <c r="AD42" s="134"/>
      <c r="AE42" s="135" t="s">
        <v>20</v>
      </c>
      <c r="AF42" s="136"/>
    </row>
    <row r="43" spans="1:32" ht="20.149999999999999" customHeight="1">
      <c r="A43" s="80">
        <f t="shared" ref="A43:C45" si="2">A17</f>
        <v>1</v>
      </c>
      <c r="B43" s="81">
        <f t="shared" si="2"/>
        <v>1</v>
      </c>
      <c r="C43" s="125" t="str">
        <f t="shared" si="2"/>
        <v>ERP 프로그램</v>
      </c>
      <c r="D43" s="111"/>
      <c r="E43" s="111"/>
      <c r="F43" s="111"/>
      <c r="G43" s="111"/>
      <c r="H43" s="112"/>
      <c r="I43" s="126">
        <f>I17</f>
        <v>0</v>
      </c>
      <c r="J43" s="111"/>
      <c r="K43" s="112"/>
      <c r="L43" s="127">
        <f>L17</f>
        <v>1</v>
      </c>
      <c r="M43" s="111"/>
      <c r="N43" s="112"/>
      <c r="O43" s="128">
        <f>O17</f>
        <v>250000</v>
      </c>
      <c r="P43" s="111"/>
      <c r="Q43" s="111"/>
      <c r="R43" s="111"/>
      <c r="S43" s="112"/>
      <c r="T43" s="128">
        <f>T17</f>
        <v>250000</v>
      </c>
      <c r="U43" s="111"/>
      <c r="V43" s="111"/>
      <c r="W43" s="111"/>
      <c r="X43" s="111"/>
      <c r="Y43" s="112"/>
      <c r="Z43" s="128">
        <f>Z17</f>
        <v>25000</v>
      </c>
      <c r="AA43" s="111"/>
      <c r="AB43" s="111"/>
      <c r="AC43" s="111"/>
      <c r="AD43" s="112"/>
      <c r="AE43" s="131"/>
      <c r="AF43" s="130"/>
    </row>
    <row r="44" spans="1:32" ht="20.149999999999999" customHeight="1">
      <c r="A44" s="80">
        <f t="shared" si="2"/>
        <v>0</v>
      </c>
      <c r="B44" s="81">
        <f t="shared" si="2"/>
        <v>0</v>
      </c>
      <c r="C44" s="125" t="str">
        <f t="shared" si="2"/>
        <v>서버유지보수</v>
      </c>
      <c r="D44" s="111"/>
      <c r="E44" s="111"/>
      <c r="F44" s="111"/>
      <c r="G44" s="111"/>
      <c r="H44" s="112"/>
      <c r="I44" s="126">
        <f>I18</f>
        <v>0</v>
      </c>
      <c r="J44" s="111"/>
      <c r="K44" s="112"/>
      <c r="L44" s="127">
        <f>L18</f>
        <v>1</v>
      </c>
      <c r="M44" s="111"/>
      <c r="N44" s="112"/>
      <c r="O44" s="128">
        <f>O18</f>
        <v>100000</v>
      </c>
      <c r="P44" s="111"/>
      <c r="Q44" s="111"/>
      <c r="R44" s="111"/>
      <c r="S44" s="112"/>
      <c r="T44" s="128">
        <f>T18</f>
        <v>100000</v>
      </c>
      <c r="U44" s="111"/>
      <c r="V44" s="111"/>
      <c r="W44" s="111"/>
      <c r="X44" s="111"/>
      <c r="Y44" s="112"/>
      <c r="Z44" s="128">
        <f>Z18</f>
        <v>10000</v>
      </c>
      <c r="AA44" s="111"/>
      <c r="AB44" s="111"/>
      <c r="AC44" s="111"/>
      <c r="AD44" s="112"/>
      <c r="AE44" s="131"/>
      <c r="AF44" s="130"/>
    </row>
    <row r="45" spans="1:32" ht="20.149999999999999" customHeight="1">
      <c r="A45" s="80">
        <f t="shared" si="2"/>
        <v>0</v>
      </c>
      <c r="B45" s="81">
        <f t="shared" si="2"/>
        <v>0</v>
      </c>
      <c r="C45" s="125">
        <f t="shared" si="2"/>
        <v>0</v>
      </c>
      <c r="D45" s="111"/>
      <c r="E45" s="111"/>
      <c r="F45" s="111"/>
      <c r="G45" s="111"/>
      <c r="H45" s="112"/>
      <c r="I45" s="126">
        <f>I19</f>
        <v>0</v>
      </c>
      <c r="J45" s="111"/>
      <c r="K45" s="112"/>
      <c r="L45" s="127">
        <f>L19</f>
        <v>0</v>
      </c>
      <c r="M45" s="111"/>
      <c r="N45" s="112"/>
      <c r="O45" s="128">
        <f>O19</f>
        <v>0</v>
      </c>
      <c r="P45" s="111"/>
      <c r="Q45" s="111"/>
      <c r="R45" s="111"/>
      <c r="S45" s="112"/>
      <c r="T45" s="128">
        <f>T19</f>
        <v>0</v>
      </c>
      <c r="U45" s="111"/>
      <c r="V45" s="111"/>
      <c r="W45" s="111"/>
      <c r="X45" s="111"/>
      <c r="Y45" s="112"/>
      <c r="Z45" s="128">
        <f>Z19</f>
        <v>0</v>
      </c>
      <c r="AA45" s="111"/>
      <c r="AB45" s="111"/>
      <c r="AC45" s="111"/>
      <c r="AD45" s="112"/>
      <c r="AE45" s="131"/>
      <c r="AF45" s="130"/>
    </row>
    <row r="46" spans="1:32" ht="20.149999999999999" customHeight="1">
      <c r="A46" s="80"/>
      <c r="B46" s="81"/>
      <c r="C46" s="125">
        <f>C20</f>
        <v>0</v>
      </c>
      <c r="D46" s="111"/>
      <c r="E46" s="111"/>
      <c r="F46" s="111"/>
      <c r="G46" s="111"/>
      <c r="H46" s="112"/>
      <c r="I46" s="126"/>
      <c r="J46" s="111"/>
      <c r="K46" s="112"/>
      <c r="L46" s="127">
        <f>L20</f>
        <v>0</v>
      </c>
      <c r="M46" s="111"/>
      <c r="N46" s="112"/>
      <c r="O46" s="128">
        <f>O20</f>
        <v>0</v>
      </c>
      <c r="P46" s="111"/>
      <c r="Q46" s="111"/>
      <c r="R46" s="111"/>
      <c r="S46" s="112"/>
      <c r="T46" s="128">
        <f>T20</f>
        <v>0</v>
      </c>
      <c r="U46" s="111"/>
      <c r="V46" s="111"/>
      <c r="W46" s="111"/>
      <c r="X46" s="111"/>
      <c r="Y46" s="112"/>
      <c r="Z46" s="128">
        <f>Z20</f>
        <v>0</v>
      </c>
      <c r="AA46" s="111"/>
      <c r="AB46" s="111"/>
      <c r="AC46" s="111"/>
      <c r="AD46" s="112"/>
      <c r="AE46" s="129"/>
      <c r="AF46" s="130"/>
    </row>
    <row r="47" spans="1:32" ht="20.149999999999999" customHeight="1">
      <c r="A47" s="80">
        <f>A20</f>
        <v>0</v>
      </c>
      <c r="B47" s="81">
        <f>B20</f>
        <v>0</v>
      </c>
      <c r="C47" s="125">
        <f>C21</f>
        <v>0</v>
      </c>
      <c r="D47" s="111"/>
      <c r="E47" s="111"/>
      <c r="F47" s="111"/>
      <c r="G47" s="111"/>
      <c r="H47" s="112"/>
      <c r="I47" s="126">
        <f>I20</f>
        <v>0</v>
      </c>
      <c r="J47" s="111"/>
      <c r="K47" s="112"/>
      <c r="L47" s="127">
        <f>L21</f>
        <v>0</v>
      </c>
      <c r="M47" s="111"/>
      <c r="N47" s="112"/>
      <c r="O47" s="128">
        <f>O21</f>
        <v>0</v>
      </c>
      <c r="P47" s="111"/>
      <c r="Q47" s="111"/>
      <c r="R47" s="111"/>
      <c r="S47" s="112"/>
      <c r="T47" s="128">
        <f>T21</f>
        <v>0</v>
      </c>
      <c r="U47" s="111"/>
      <c r="V47" s="111"/>
      <c r="W47" s="111"/>
      <c r="X47" s="111"/>
      <c r="Y47" s="112"/>
      <c r="Z47" s="128">
        <f>Z21</f>
        <v>0</v>
      </c>
      <c r="AA47" s="111"/>
      <c r="AB47" s="111"/>
      <c r="AC47" s="111"/>
      <c r="AD47" s="112"/>
      <c r="AE47" s="131"/>
      <c r="AF47" s="130"/>
    </row>
    <row r="48" spans="1:32" ht="13.5" customHeight="1">
      <c r="A48" s="110" t="s">
        <v>38</v>
      </c>
      <c r="B48" s="111"/>
      <c r="C48" s="111"/>
      <c r="D48" s="111"/>
      <c r="E48" s="112"/>
      <c r="F48" s="113" t="s">
        <v>82</v>
      </c>
      <c r="G48" s="111"/>
      <c r="H48" s="111"/>
      <c r="I48" s="111"/>
      <c r="J48" s="112"/>
      <c r="K48" s="113" t="s">
        <v>83</v>
      </c>
      <c r="L48" s="111"/>
      <c r="M48" s="111"/>
      <c r="N48" s="111"/>
      <c r="O48" s="112"/>
      <c r="P48" s="113" t="s">
        <v>84</v>
      </c>
      <c r="Q48" s="111"/>
      <c r="R48" s="111"/>
      <c r="S48" s="111"/>
      <c r="T48" s="112"/>
      <c r="U48" s="113" t="s">
        <v>85</v>
      </c>
      <c r="V48" s="111"/>
      <c r="W48" s="111"/>
      <c r="X48" s="111"/>
      <c r="Y48" s="112"/>
      <c r="Z48" s="114" t="s">
        <v>86</v>
      </c>
      <c r="AA48" s="115"/>
      <c r="AB48" s="115"/>
      <c r="AC48" s="115"/>
      <c r="AD48" s="118" t="str">
        <f>IF(AG1=1,"영수","청구")</f>
        <v>영수</v>
      </c>
      <c r="AE48" s="115"/>
      <c r="AF48" s="119" t="s">
        <v>87</v>
      </c>
    </row>
    <row r="49" spans="1:32" ht="19.5" customHeight="1">
      <c r="A49" s="121">
        <f>A23</f>
        <v>385000</v>
      </c>
      <c r="B49" s="122"/>
      <c r="C49" s="122"/>
      <c r="D49" s="122"/>
      <c r="E49" s="123"/>
      <c r="F49" s="124"/>
      <c r="G49" s="122"/>
      <c r="H49" s="122"/>
      <c r="I49" s="122"/>
      <c r="J49" s="123"/>
      <c r="K49" s="124"/>
      <c r="L49" s="122"/>
      <c r="M49" s="122"/>
      <c r="N49" s="122"/>
      <c r="O49" s="123"/>
      <c r="P49" s="124"/>
      <c r="Q49" s="122"/>
      <c r="R49" s="122"/>
      <c r="S49" s="122"/>
      <c r="T49" s="123"/>
      <c r="U49" s="124"/>
      <c r="V49" s="122"/>
      <c r="W49" s="122"/>
      <c r="X49" s="122"/>
      <c r="Y49" s="123"/>
      <c r="Z49" s="116"/>
      <c r="AA49" s="117"/>
      <c r="AB49" s="117"/>
      <c r="AC49" s="117"/>
      <c r="AD49" s="117"/>
      <c r="AE49" s="117"/>
      <c r="AF49" s="120"/>
    </row>
    <row r="50" spans="1:32" ht="15" customHeight="1">
      <c r="A50" s="105" t="s">
        <v>88</v>
      </c>
      <c r="B50" s="106"/>
      <c r="C50" s="106"/>
      <c r="D50" s="106"/>
      <c r="E50" s="106"/>
      <c r="F50" s="106"/>
      <c r="G50" s="106"/>
      <c r="H50" s="106"/>
      <c r="I50" s="106"/>
      <c r="J50" s="106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7" t="s">
        <v>89</v>
      </c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3.5" customHeight="1">
      <c r="O51" s="108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coding start</cp:lastModifiedBy>
  <cp:revision>0</cp:revision>
  <cp:lastPrinted>2003-10-10T10:55:14Z</cp:lastPrinted>
  <dcterms:created xsi:type="dcterms:W3CDTF">2001-11-20T17:28:03Z</dcterms:created>
  <dcterms:modified xsi:type="dcterms:W3CDTF">2024-01-04T04:09:30Z</dcterms:modified>
  <dc:language>en-US</dc:language>
</cp:coreProperties>
</file>